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portfolio folder\crypto project\"/>
    </mc:Choice>
  </mc:AlternateContent>
  <xr:revisionPtr revIDLastSave="0" documentId="8_{D16F81C6-3BBB-4490-BA2E-0833B54E3921}" xr6:coauthVersionLast="47" xr6:coauthVersionMax="47" xr10:uidLastSave="{00000000-0000-0000-0000-000000000000}"/>
  <bookViews>
    <workbookView xWindow="-120" yWindow="-120" windowWidth="20730" windowHeight="11160" xr2:uid="{0A88283B-87AD-4FE0-AAB7-BFCB9210024C}"/>
  </bookViews>
  <sheets>
    <sheet name="summary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2" i="1"/>
  <c r="O3" i="1"/>
  <c r="O4" i="1"/>
  <c r="O5" i="1"/>
  <c r="O6" i="1"/>
  <c r="O7" i="1"/>
  <c r="O8" i="1"/>
  <c r="O2" i="1"/>
  <c r="N3" i="1"/>
  <c r="N4" i="1"/>
  <c r="N5" i="1"/>
  <c r="N6" i="1"/>
  <c r="N7" i="1"/>
  <c r="N8" i="1"/>
  <c r="N2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</calcChain>
</file>

<file path=xl/sharedStrings.xml><?xml version="1.0" encoding="utf-8"?>
<sst xmlns="http://schemas.openxmlformats.org/spreadsheetml/2006/main" count="24" uniqueCount="24">
  <si>
    <t>coin</t>
  </si>
  <si>
    <t>start_date</t>
  </si>
  <si>
    <t>end_date</t>
  </si>
  <si>
    <t>days</t>
  </si>
  <si>
    <t>total_return</t>
  </si>
  <si>
    <t>avg_daily_return</t>
  </si>
  <si>
    <t>daily_variance</t>
  </si>
  <si>
    <t>max_drawdown</t>
  </si>
  <si>
    <t>best_day</t>
  </si>
  <si>
    <t>worst_day</t>
  </si>
  <si>
    <t>pct_days_up</t>
  </si>
  <si>
    <t>BNB</t>
  </si>
  <si>
    <t>Bitcoin</t>
  </si>
  <si>
    <t>Cardano</t>
  </si>
  <si>
    <t>Dogecoin</t>
  </si>
  <si>
    <t>Ethereum</t>
  </si>
  <si>
    <t>Solana</t>
  </si>
  <si>
    <t>XRP</t>
  </si>
  <si>
    <t>annual_return</t>
  </si>
  <si>
    <t>annual_volatility</t>
  </si>
  <si>
    <t>sharpe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</si>
  <si>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Sharpe assumes a 0% risk-free rate.</t>
    </r>
  </si>
  <si>
    <t>cagr</t>
  </si>
  <si>
    <t>sharpe_cagr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</si>
</sst>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NumberFormat="1"/>
    <xf numFmtId="172" fontId="0" fillId="0" borderId="0" xfId="0" applyNumberFormat="1" applyAlignment="1">
      <alignment wrapText="1"/>
    </xf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E0AE-758F-4532-B8BA-87C196E450E0}">
  <dimension ref="A1:P10"/>
  <sheetViews>
    <sheetView tabSelected="1" workbookViewId="0">
      <selection activeCell="J18" sqref="J18"/>
    </sheetView>
  </sheetViews>
  <sheetFormatPr defaultRowHeight="15" x14ac:dyDescent="0.25"/>
  <cols>
    <col min="1" max="1" width="9.140625" style="2"/>
    <col min="2" max="2" width="11.5703125" style="4" bestFit="1" customWidth="1"/>
    <col min="3" max="3" width="11.7109375" style="4" customWidth="1"/>
    <col min="4" max="4" width="10.5703125" style="2" bestFit="1" customWidth="1"/>
    <col min="5" max="13" width="9.28515625" style="2" customWidth="1"/>
    <col min="14" max="15" width="9.28515625" style="2" bestFit="1" customWidth="1"/>
    <col min="16" max="16" width="9.28515625" style="2" customWidth="1"/>
    <col min="17" max="16384" width="9.140625" style="2"/>
  </cols>
  <sheetData>
    <row r="1" spans="1:16" s="1" customFormat="1" ht="30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2" t="s">
        <v>20</v>
      </c>
      <c r="O1" s="2" t="s">
        <v>22</v>
      </c>
      <c r="P1" s="2" t="s">
        <v>23</v>
      </c>
    </row>
    <row r="2" spans="1:16" x14ac:dyDescent="0.25">
      <c r="A2" s="2" t="s">
        <v>11</v>
      </c>
      <c r="B2" s="4">
        <v>44197</v>
      </c>
      <c r="C2" s="4">
        <v>46316</v>
      </c>
      <c r="D2" s="2">
        <v>2119</v>
      </c>
      <c r="E2" s="2">
        <v>18.6781380619129</v>
      </c>
      <c r="F2" s="2">
        <v>2.2385203442868901E-3</v>
      </c>
      <c r="G2" s="2">
        <v>1.7453101363924799E-3</v>
      </c>
      <c r="H2" s="2">
        <v>-0.70837998924700896</v>
      </c>
      <c r="I2" s="2">
        <v>0.697604037057028</v>
      </c>
      <c r="J2" s="2">
        <v>-0.332656309367374</v>
      </c>
      <c r="K2" s="2">
        <v>52.4</v>
      </c>
      <c r="L2" s="2">
        <f>F2*365</f>
        <v>0.81705992566471486</v>
      </c>
      <c r="M2" s="2">
        <f>SQRT(G2)*SQRT(365)</f>
        <v>0.79814672822937449</v>
      </c>
      <c r="N2" s="2">
        <f>L2/M2</f>
        <v>1.0236963916112238</v>
      </c>
      <c r="O2" s="2">
        <f>(1+E2)^(365/D2)-1</f>
        <v>0.67066786280271784</v>
      </c>
      <c r="P2" s="2">
        <f>O2/M2</f>
        <v>0.84028141578747251</v>
      </c>
    </row>
    <row r="3" spans="1:16" x14ac:dyDescent="0.25">
      <c r="A3" s="2" t="s">
        <v>12</v>
      </c>
      <c r="B3" s="4">
        <v>44197</v>
      </c>
      <c r="C3" s="4">
        <v>46316</v>
      </c>
      <c r="D3" s="2">
        <v>2119</v>
      </c>
      <c r="E3" s="2">
        <v>1.82689540376365</v>
      </c>
      <c r="F3" s="2">
        <v>9.3152356131603799E-4</v>
      </c>
      <c r="G3" s="2">
        <v>8.8273705243970696E-4</v>
      </c>
      <c r="H3" s="2">
        <v>-0.76634563708569103</v>
      </c>
      <c r="I3" s="2">
        <v>0.187464737665299</v>
      </c>
      <c r="J3" s="2">
        <v>-0.159747260276172</v>
      </c>
      <c r="K3" s="2">
        <v>49.7</v>
      </c>
      <c r="L3" s="2">
        <f t="shared" ref="L3:L8" si="0">F3*365</f>
        <v>0.34000609988035385</v>
      </c>
      <c r="M3" s="2">
        <f t="shared" ref="M3:M8" si="1">SQRT(G3)*SQRT(365)</f>
        <v>0.56762577825579152</v>
      </c>
      <c r="N3" s="2">
        <f t="shared" ref="N3:N8" si="2">L3/M3</f>
        <v>0.5989969323189116</v>
      </c>
      <c r="O3" s="2">
        <f t="shared" ref="O3:O8" si="3">(1+E3)^(365/D3)-1</f>
        <v>0.19602038510019582</v>
      </c>
      <c r="P3" s="2">
        <f t="shared" ref="P3:P8" si="4">O3/M3</f>
        <v>0.34533383191744749</v>
      </c>
    </row>
    <row r="4" spans="1:16" x14ac:dyDescent="0.25">
      <c r="A4" s="2" t="s">
        <v>13</v>
      </c>
      <c r="B4" s="4">
        <v>44197</v>
      </c>
      <c r="C4" s="4">
        <v>46316</v>
      </c>
      <c r="D4" s="2">
        <v>2119</v>
      </c>
      <c r="E4" s="2">
        <v>0.281836329584291</v>
      </c>
      <c r="F4" s="2">
        <v>1.3424907079437401E-3</v>
      </c>
      <c r="G4" s="2">
        <v>2.5573710076504199E-3</v>
      </c>
      <c r="H4" s="2">
        <v>-0.95167875872802399</v>
      </c>
      <c r="I4" s="2">
        <v>0.71327621362650995</v>
      </c>
      <c r="J4" s="2">
        <v>-0.26009427927379097</v>
      </c>
      <c r="K4" s="2">
        <v>48.4</v>
      </c>
      <c r="L4" s="2">
        <f t="shared" si="0"/>
        <v>0.49000910839946515</v>
      </c>
      <c r="M4" s="2">
        <f t="shared" si="1"/>
        <v>0.96614720296257295</v>
      </c>
      <c r="N4" s="2">
        <f t="shared" si="2"/>
        <v>0.50717851989522067</v>
      </c>
      <c r="O4" s="2">
        <f t="shared" si="3"/>
        <v>4.3696616934255195E-2</v>
      </c>
      <c r="P4" s="2">
        <f t="shared" si="4"/>
        <v>4.5227701120765892E-2</v>
      </c>
    </row>
    <row r="5" spans="1:16" x14ac:dyDescent="0.25">
      <c r="A5" s="2" t="s">
        <v>14</v>
      </c>
      <c r="B5" s="4">
        <v>44197</v>
      </c>
      <c r="C5" s="4">
        <v>46316</v>
      </c>
      <c r="D5" s="2">
        <v>2119</v>
      </c>
      <c r="E5" s="2">
        <v>13.432717680261501</v>
      </c>
      <c r="F5" s="2">
        <v>4.1386068680720504E-3</v>
      </c>
      <c r="G5" s="2">
        <v>1.0196427952923E-2</v>
      </c>
      <c r="H5" s="2">
        <v>-0.92258502128883402</v>
      </c>
      <c r="I5" s="2">
        <v>3.5554663138379001</v>
      </c>
      <c r="J5" s="2">
        <v>-0.40256985946156398</v>
      </c>
      <c r="K5" s="2">
        <v>48.3</v>
      </c>
      <c r="L5" s="2">
        <f t="shared" si="0"/>
        <v>1.5105915068462985</v>
      </c>
      <c r="M5" s="2">
        <f t="shared" si="1"/>
        <v>1.9291698221817835</v>
      </c>
      <c r="N5" s="2">
        <f t="shared" si="2"/>
        <v>0.78302671412198632</v>
      </c>
      <c r="O5" s="2">
        <f t="shared" si="3"/>
        <v>0.58379491430271413</v>
      </c>
      <c r="P5" s="2">
        <f t="shared" si="4"/>
        <v>0.30261457938548647</v>
      </c>
    </row>
    <row r="6" spans="1:16" x14ac:dyDescent="0.25">
      <c r="A6" s="2" t="s">
        <v>15</v>
      </c>
      <c r="B6" s="4">
        <v>44197</v>
      </c>
      <c r="C6" s="4">
        <v>46316</v>
      </c>
      <c r="D6" s="2">
        <v>2119</v>
      </c>
      <c r="E6" s="2">
        <v>2.3548588198465299</v>
      </c>
      <c r="F6" s="2">
        <v>1.37285224047504E-3</v>
      </c>
      <c r="G6" s="2">
        <v>1.60628002093703E-3</v>
      </c>
      <c r="H6" s="2">
        <v>-0.79351231665052402</v>
      </c>
      <c r="I6" s="2">
        <v>0.25947532939568602</v>
      </c>
      <c r="J6" s="2">
        <v>-0.27200349417220199</v>
      </c>
      <c r="K6" s="2">
        <v>51.1</v>
      </c>
      <c r="L6" s="2">
        <f t="shared" si="0"/>
        <v>0.50109106777338963</v>
      </c>
      <c r="M6" s="2">
        <f t="shared" si="1"/>
        <v>0.76569720362687488</v>
      </c>
      <c r="N6" s="2">
        <f t="shared" si="2"/>
        <v>0.65442457592880521</v>
      </c>
      <c r="O6" s="2">
        <f t="shared" si="3"/>
        <v>0.23182197538643923</v>
      </c>
      <c r="P6" s="2">
        <f t="shared" si="4"/>
        <v>0.30275933396173971</v>
      </c>
    </row>
    <row r="7" spans="1:16" x14ac:dyDescent="0.25">
      <c r="A7" s="2" t="s">
        <v>16</v>
      </c>
      <c r="B7" s="4">
        <v>44197</v>
      </c>
      <c r="C7" s="4">
        <v>46316</v>
      </c>
      <c r="D7" s="2">
        <v>2119</v>
      </c>
      <c r="E7" s="2">
        <v>56.8583815546991</v>
      </c>
      <c r="F7" s="2">
        <v>3.5123057909783998E-3</v>
      </c>
      <c r="G7" s="2">
        <v>3.2074085773602201E-3</v>
      </c>
      <c r="H7" s="2">
        <v>-0.962724976899759</v>
      </c>
      <c r="I7" s="2">
        <v>0.35703034581743998</v>
      </c>
      <c r="J7" s="2">
        <v>-0.422809036811301</v>
      </c>
      <c r="K7" s="2">
        <v>49.8</v>
      </c>
      <c r="L7" s="2">
        <f t="shared" si="0"/>
        <v>1.2819916137071159</v>
      </c>
      <c r="M7" s="2">
        <f t="shared" si="1"/>
        <v>1.0819908182311346</v>
      </c>
      <c r="N7" s="2">
        <f t="shared" si="2"/>
        <v>1.1848451873214114</v>
      </c>
      <c r="O7" s="2">
        <f t="shared" si="3"/>
        <v>1.0117289385412462</v>
      </c>
      <c r="P7" s="2">
        <f t="shared" si="4"/>
        <v>0.93506240671731922</v>
      </c>
    </row>
    <row r="8" spans="1:16" x14ac:dyDescent="0.25">
      <c r="A8" s="2" t="s">
        <v>17</v>
      </c>
      <c r="B8" s="4">
        <v>44197</v>
      </c>
      <c r="C8" s="4">
        <v>46316</v>
      </c>
      <c r="D8" s="2">
        <v>2119</v>
      </c>
      <c r="E8" s="2">
        <v>4.6480685391667</v>
      </c>
      <c r="F8" s="2">
        <v>2.07425880497591E-3</v>
      </c>
      <c r="G8" s="2">
        <v>2.68734514205601E-3</v>
      </c>
      <c r="H8" s="2">
        <v>-0.83249023082412399</v>
      </c>
      <c r="I8" s="2">
        <v>0.73075004581639202</v>
      </c>
      <c r="J8" s="2">
        <v>-0.32715779414396401</v>
      </c>
      <c r="K8" s="2">
        <v>49.3</v>
      </c>
      <c r="L8" s="2">
        <f t="shared" si="0"/>
        <v>0.75710446381620711</v>
      </c>
      <c r="M8" s="2">
        <f t="shared" si="1"/>
        <v>0.99039435420969746</v>
      </c>
      <c r="N8" s="2">
        <f t="shared" si="2"/>
        <v>0.76444747549106529</v>
      </c>
      <c r="O8" s="2">
        <f t="shared" si="3"/>
        <v>0.34745902074300727</v>
      </c>
      <c r="P8" s="2">
        <f t="shared" si="4"/>
        <v>0.35082895946056586</v>
      </c>
    </row>
    <row r="10" spans="1:16" x14ac:dyDescent="0.25">
      <c r="A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2026-10-21T08:49:32Z</dcterms:created>
  <dcterms:modified xsi:type="dcterms:W3CDTF">2026-10-21T09:26:57Z</dcterms:modified>
</cp:coreProperties>
</file>